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xr:revisionPtr revIDLastSave="0" documentId="8_{AEAEAE27-2F0E-4D39-8F81-D7A319B364B4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Outdoor-SteelTree-Mega" sheetId="3" r:id="rId1"/>
    <sheet name="Final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4" l="1"/>
  <c r="K2" i="4"/>
  <c r="I2" i="4" a="1"/>
  <c r="I2" i="4"/>
  <c r="F2" i="3" a="1"/>
  <c r="F2" i="3" s="1"/>
  <c r="G2" i="3" a="1"/>
  <c r="G2" i="3" s="1"/>
  <c r="H2" i="3" a="1"/>
  <c r="H2" i="3" s="1"/>
  <c r="I2" i="3" a="1"/>
  <c r="I2" i="3" s="1"/>
  <c r="J2" i="3" a="1"/>
  <c r="J2" i="3" s="1"/>
  <c r="J2" i="4" a="1"/>
  <c r="J2" i="4" s="1"/>
  <c r="H2" i="4" a="1"/>
  <c r="H2" i="4" s="1"/>
  <c r="G2" i="4" a="1"/>
  <c r="G2" i="4" s="1"/>
  <c r="F2" i="4" a="1"/>
  <c r="F2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<sst xmlns="http://schemas.openxmlformats.org/spreadsheetml/2006/main" count="22" uniqueCount="12">
  <si>
    <t>Positional Error X (m)</t>
  </si>
  <si>
    <t>Positional Error Y (m)</t>
  </si>
  <si>
    <t>Positional Error Z (m)</t>
  </si>
  <si>
    <t>Euclidean Distance Error (m)</t>
  </si>
  <si>
    <t>Rotational Error (°)</t>
  </si>
  <si>
    <t>RMSE Positional Error X</t>
  </si>
  <si>
    <t>RMSE Positional Error Y</t>
  </si>
  <si>
    <t>RMSE Positional Error Z</t>
  </si>
  <si>
    <t>RMSE Euclidean Distance Error (m)</t>
  </si>
  <si>
    <t>RMSE Rotational Error (degree)</t>
  </si>
  <si>
    <t>Median Euclidean Distance Error (m)</t>
  </si>
  <si>
    <t>Median Rotational Error (degree)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</si>
</sst>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819CA4-237B-4285-9923-F7B4C93E8EBD}" name="Table1" displayName="Table1" ref="A1:J37" totalsRowShown="0" headerRowDxfId="13">
  <autoFilter ref="A1:J37" xr:uid="{06819CA4-237B-4285-9923-F7B4C93E8EBD}"/>
  <tableColumns count="10">
    <tableColumn id="1" xr3:uid="{0D6F3FAC-7DAF-4BB7-8787-B52C27EAC7FF}" name="Positional Error X (m)"/>
    <tableColumn id="2" xr3:uid="{1F1B5E6E-10CD-43C2-8A5F-30FF5143C314}" name="Positional Error Y (m)"/>
    <tableColumn id="3" xr3:uid="{3E905B38-93FA-47E9-AABE-22BD7DE3F5E4}" name="Positional Error Z (m)"/>
    <tableColumn id="4" xr3:uid="{3BF3AA73-EB11-4E33-B78B-884AC1A451FC}" name="Euclidean Distance Error (m)"/>
    <tableColumn id="5" xr3:uid="{03F23847-A74E-41D0-9DC7-5FF5D97B259E}" name="Rotational Error (°)"/>
    <tableColumn id="6" xr3:uid="{2CA9D2B4-6457-4E55-9C71-15268D44BD7E}" name="RMSE Positional Error X" dataDxfId="12">
      <calculatedColumnFormula array="1">SQRT(AVERAGE(A2:A37*A2:A37))</calculatedColumnFormula>
    </tableColumn>
    <tableColumn id="7" xr3:uid="{44D2DB94-9496-44C3-B5BB-A0C91C5CC33C}" name="RMSE Positional Error Y" dataDxfId="11">
      <calculatedColumnFormula array="1">SQRT(AVERAGE(B2:B37*B2:B37))</calculatedColumnFormula>
    </tableColumn>
    <tableColumn id="8" xr3:uid="{DA881095-D70B-4D1C-8DD1-23CEF8D2DCC2}" name="RMSE Positional Error Z" dataDxfId="10">
      <calculatedColumnFormula array="1">SQRT(AVERAGE(C2:C37*C2:C37))</calculatedColumnFormula>
    </tableColumn>
    <tableColumn id="9" xr3:uid="{C2909816-22EB-48C9-B2B9-23610C3B96CA}" name="RMSE Euclidean Distance Error (m)" dataDxfId="9">
      <calculatedColumnFormula array="1">SQRT(AVERAGE(D2:D37*D2:D37))</calculatedColumnFormula>
    </tableColumn>
    <tableColumn id="10" xr3:uid="{2F0F6F2E-345D-4B30-9C7F-C971919E99DD}" name="RMSE Rotational Error (degree)" dataDxfId="8">
      <calculatedColumnFormula array="1">SQRT(AVERAGE(E2:E37*E2:E37))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59007DE-9D1D-482B-AAE1-D621B8688EA1}" name="Table14" displayName="Table14" ref="A1:L36" totalsRowShown="0" headerRowDxfId="7">
  <autoFilter ref="A1:L36" xr:uid="{B59007DE-9D1D-482B-AAE1-D621B8688EA1}"/>
  <tableColumns count="12">
    <tableColumn id="1" xr3:uid="{AB937B7A-B825-4DC5-B7A8-5992D4135389}" name="Positional Error X (m)"/>
    <tableColumn id="2" xr3:uid="{15B76795-8B24-4D44-B5C1-8B71ACBB040F}" name="Positional Error Y (m)"/>
    <tableColumn id="3" xr3:uid="{FD9BE9F9-9E6A-4BBF-80B0-DF923DA6A9D8}" name="Positional Error Z (m)"/>
    <tableColumn id="4" xr3:uid="{B7928F3D-1565-4234-A3FA-9E80091B771F}" name="Euclidean Distance Error (m)"/>
    <tableColumn id="5" xr3:uid="{E12150E2-BA6C-4FA8-BD1A-02B428EC2D20}" name="Rotational Error (°)"/>
    <tableColumn id="6" xr3:uid="{AC119EB1-1117-4562-9A1E-2F7C70DA6666}" name="RMSE Positional Error X" dataDxfId="6">
      <calculatedColumnFormula array="1">SQRT(AVERAGE(A2:A36*A2:A36))</calculatedColumnFormula>
    </tableColumn>
    <tableColumn id="7" xr3:uid="{7199D4D6-2A62-4F5D-8078-DA2425025D0A}" name="RMSE Positional Error Y" dataDxfId="5">
      <calculatedColumnFormula array="1">SQRT(AVERAGE(B2:B36*B2:B36))</calculatedColumnFormula>
    </tableColumn>
    <tableColumn id="8" xr3:uid="{7830A598-4E15-45EE-9B2D-FCFC112366CD}" name="RMSE Positional Error Z" dataDxfId="4">
      <calculatedColumnFormula array="1">SQRT(AVERAGE(C2:C36*C2:C36))</calculatedColumnFormula>
    </tableColumn>
    <tableColumn id="9" xr3:uid="{BD8028B9-641C-47C8-B45D-FECF928E4337}" name="RMSE Euclidean Distance Error (m)" dataDxfId="3">
      <calculatedColumnFormula array="1">SQRT(AVERAGE(D2:D11*D2:D11))</calculatedColumnFormula>
    </tableColumn>
    <tableColumn id="10" xr3:uid="{6C277830-D7AA-4A41-AC92-6D519B6B0D8B}" name="RMSE Rotational Error (degree)" dataDxfId="2">
      <calculatedColumnFormula array="1">SQRT(AVERAGE(E2:E36*E2:E36))</calculatedColumnFormula>
    </tableColumn>
    <tableColumn id="11" xr3:uid="{7E2D6556-E913-447E-BA53-1A0A05D80D1B}" name="Median Euclidean Distance Error (m)" dataDxfId="1">
      <calculatedColumnFormula>MEDIAN(D2:D11)</calculatedColumnFormula>
    </tableColumn>
    <tableColumn id="12" xr3:uid="{F01BD9BC-0957-47CD-B743-F6F08F6775D5}" name="Median Rotational Error (degree)" dataDxfId="0">
      <calculatedColumnFormula>MEDIAN(E2:E11)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2D533-36DD-4B61-AE0B-EFF7BADB5AE4}">
  <dimension ref="A1:J37"/>
  <sheetViews>
    <sheetView workbookViewId="0">
      <selection activeCell="E33" sqref="A33:E33"/>
    </sheetView>
  </sheetViews>
  <sheetFormatPr defaultRowHeight="15"/>
  <cols>
    <col min="1" max="3" width="22.28515625" bestFit="1" customWidth="1"/>
    <col min="4" max="4" width="29.28515625" bestFit="1" customWidth="1"/>
    <col min="5" max="5" width="20.140625" bestFit="1" customWidth="1"/>
    <col min="6" max="8" width="24.42578125" bestFit="1" customWidth="1"/>
    <col min="9" max="9" width="34.85546875" bestFit="1" customWidth="1"/>
    <col min="10" max="10" width="31.14062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2.5100000000000001E-2</v>
      </c>
      <c r="B2">
        <v>0.06</v>
      </c>
      <c r="C2">
        <v>5.8999999999999997E-2</v>
      </c>
      <c r="D2">
        <v>8.7800000000000003E-2</v>
      </c>
      <c r="E2">
        <v>0.20180000000000001</v>
      </c>
      <c r="F2" cm="1">
        <f t="array" ref="F2">SQRT(AVERAGE(A2:A37*A2:A37))</f>
        <v>8.3523223650005807E-2</v>
      </c>
      <c r="G2" cm="1">
        <f t="array" ref="G2">SQRT(AVERAGE(B2:B37*B2:B37))</f>
        <v>5.5510797248022936E-2</v>
      </c>
      <c r="H2" cm="1">
        <f t="array" ref="H2">SQRT(AVERAGE(C2:C37*C2:C37))</f>
        <v>9.7414436815084021E-2</v>
      </c>
      <c r="I2" cm="1">
        <f t="array" ref="I2">SQRT(AVERAGE(D2:D37*D2:D37))</f>
        <v>0.13980403447524523</v>
      </c>
      <c r="J2" cm="1">
        <f t="array" ref="J2">SQRT(AVERAGE(E2:E37*E2:E37))</f>
        <v>1.6595330843510037</v>
      </c>
    </row>
    <row r="3" spans="1:10">
      <c r="A3">
        <v>2.6499999999999999E-2</v>
      </c>
      <c r="B3">
        <v>5.5E-2</v>
      </c>
      <c r="C3">
        <v>5.0700000000000002E-2</v>
      </c>
      <c r="D3">
        <v>7.9299999999999995E-2</v>
      </c>
      <c r="E3">
        <v>0.34660000000000002</v>
      </c>
    </row>
    <row r="4" spans="1:10">
      <c r="A4">
        <v>4.3E-3</v>
      </c>
      <c r="B4">
        <v>6.9400000000000003E-2</v>
      </c>
      <c r="C4">
        <v>2.53E-2</v>
      </c>
      <c r="D4">
        <v>7.3899999999999993E-2</v>
      </c>
      <c r="E4">
        <v>1.4530000000000001</v>
      </c>
    </row>
    <row r="5" spans="1:10">
      <c r="A5">
        <v>2.7199999999999998E-2</v>
      </c>
      <c r="B5">
        <v>5.8099999999999999E-2</v>
      </c>
      <c r="C5">
        <v>2.6800000000000001E-2</v>
      </c>
      <c r="D5">
        <v>6.9500000000000006E-2</v>
      </c>
      <c r="E5">
        <v>1.5236000000000001</v>
      </c>
    </row>
    <row r="6" spans="1:10">
      <c r="A6">
        <v>3.15E-2</v>
      </c>
      <c r="B6">
        <v>6.8699999999999997E-2</v>
      </c>
      <c r="C6">
        <v>3.8899999999999997E-2</v>
      </c>
      <c r="D6">
        <v>8.5000000000000006E-2</v>
      </c>
      <c r="E6">
        <v>0.35659999999999997</v>
      </c>
    </row>
    <row r="7" spans="1:10">
      <c r="A7">
        <v>2.76E-2</v>
      </c>
      <c r="B7">
        <v>6.2600000000000003E-2</v>
      </c>
      <c r="C7">
        <v>8.6400000000000005E-2</v>
      </c>
      <c r="D7">
        <v>0.11020000000000001</v>
      </c>
      <c r="E7">
        <v>8.8400000000000006E-2</v>
      </c>
    </row>
    <row r="8" spans="1:10">
      <c r="A8">
        <v>2.6499999999999999E-2</v>
      </c>
      <c r="B8">
        <v>6.3200000000000006E-2</v>
      </c>
      <c r="C8">
        <v>5.7000000000000002E-2</v>
      </c>
      <c r="D8">
        <v>8.9099999999999999E-2</v>
      </c>
      <c r="E8">
        <v>5.8099999999999999E-2</v>
      </c>
    </row>
    <row r="9" spans="1:10">
      <c r="A9">
        <v>1.32E-2</v>
      </c>
      <c r="B9">
        <v>7.4499999999999997E-2</v>
      </c>
      <c r="C9">
        <v>3.56E-2</v>
      </c>
      <c r="D9">
        <v>8.3599999999999994E-2</v>
      </c>
      <c r="E9">
        <v>0.48459999999999998</v>
      </c>
    </row>
    <row r="10" spans="1:10">
      <c r="A10">
        <v>5.1400000000000001E-2</v>
      </c>
      <c r="B10">
        <v>2.4400000000000002E-2</v>
      </c>
      <c r="C10">
        <v>6.1499999999999999E-2</v>
      </c>
      <c r="D10">
        <v>8.3799999999999999E-2</v>
      </c>
      <c r="E10">
        <v>1.5923</v>
      </c>
    </row>
    <row r="11" spans="1:10">
      <c r="A11">
        <v>4.2000000000000003E-2</v>
      </c>
      <c r="B11">
        <v>2.6800000000000001E-2</v>
      </c>
      <c r="C11">
        <v>6.4899999999999999E-2</v>
      </c>
      <c r="D11">
        <v>8.1799999999999998E-2</v>
      </c>
      <c r="E11">
        <v>1.409</v>
      </c>
    </row>
    <row r="12" spans="1:10">
      <c r="A12">
        <v>2.9600000000000001E-2</v>
      </c>
      <c r="B12">
        <v>2.2499999999999999E-2</v>
      </c>
      <c r="C12">
        <v>3.8899999999999997E-2</v>
      </c>
      <c r="D12">
        <v>5.3800000000000001E-2</v>
      </c>
      <c r="E12">
        <v>1.8972</v>
      </c>
    </row>
    <row r="13" spans="1:10">
      <c r="A13">
        <v>5.3499999999999999E-2</v>
      </c>
      <c r="B13">
        <v>6.8500000000000005E-2</v>
      </c>
      <c r="C13">
        <v>0.13700000000000001</v>
      </c>
      <c r="D13">
        <v>0.16220000000000001</v>
      </c>
      <c r="E13">
        <v>2.6694</v>
      </c>
    </row>
    <row r="14" spans="1:10">
      <c r="A14">
        <v>1.06E-2</v>
      </c>
      <c r="B14">
        <v>7.5300000000000006E-2</v>
      </c>
      <c r="C14">
        <v>0.17299999999999999</v>
      </c>
      <c r="D14">
        <v>0.18890000000000001</v>
      </c>
      <c r="E14">
        <v>2.6375000000000002</v>
      </c>
    </row>
    <row r="15" spans="1:10">
      <c r="A15">
        <v>6.6E-3</v>
      </c>
      <c r="B15">
        <v>7.2700000000000001E-2</v>
      </c>
      <c r="C15">
        <v>0.1774</v>
      </c>
      <c r="D15">
        <v>0.1918</v>
      </c>
      <c r="E15">
        <v>2.9565000000000001</v>
      </c>
    </row>
    <row r="16" spans="1:10">
      <c r="A16">
        <v>2.7E-2</v>
      </c>
      <c r="B16">
        <v>6.2399999999999997E-2</v>
      </c>
      <c r="C16">
        <v>0.20830000000000001</v>
      </c>
      <c r="D16">
        <v>0.21920000000000001</v>
      </c>
      <c r="E16">
        <v>3.7324000000000002</v>
      </c>
    </row>
    <row r="17" spans="1:5">
      <c r="A17">
        <v>1.7899999999999999E-2</v>
      </c>
      <c r="B17">
        <v>7.2499999999999995E-2</v>
      </c>
      <c r="C17">
        <v>0.21920000000000001</v>
      </c>
      <c r="D17">
        <v>0.23150000000000001</v>
      </c>
      <c r="E17">
        <v>4.0416999999999996</v>
      </c>
    </row>
    <row r="18" spans="1:5">
      <c r="A18">
        <v>0.17949999999999999</v>
      </c>
      <c r="B18">
        <v>4.6300000000000001E-2</v>
      </c>
      <c r="C18">
        <v>0.17299999999999999</v>
      </c>
      <c r="D18">
        <v>0.25359999999999999</v>
      </c>
      <c r="E18">
        <v>0.64329999999999998</v>
      </c>
    </row>
    <row r="19" spans="1:5">
      <c r="A19">
        <v>0.16009999999999999</v>
      </c>
      <c r="B19">
        <v>5.11E-2</v>
      </c>
      <c r="C19">
        <v>0.14990000000000001</v>
      </c>
      <c r="D19">
        <v>0.22509999999999999</v>
      </c>
      <c r="E19">
        <v>1.5862000000000001</v>
      </c>
    </row>
    <row r="20" spans="1:5">
      <c r="A20">
        <v>0.14230000000000001</v>
      </c>
      <c r="B20">
        <v>5.74E-2</v>
      </c>
      <c r="C20">
        <v>0.1825</v>
      </c>
      <c r="D20">
        <v>0.23849999999999999</v>
      </c>
      <c r="E20">
        <v>0.36430000000000001</v>
      </c>
    </row>
    <row r="21" spans="1:5">
      <c r="A21">
        <v>0.1323</v>
      </c>
      <c r="B21">
        <v>4.8800000000000003E-2</v>
      </c>
      <c r="C21">
        <v>0.11219999999999999</v>
      </c>
      <c r="D21">
        <v>0.1802</v>
      </c>
      <c r="E21">
        <v>0.50539999999999996</v>
      </c>
    </row>
    <row r="22" spans="1:5">
      <c r="A22">
        <v>0.1424</v>
      </c>
      <c r="B22">
        <v>6.4500000000000002E-2</v>
      </c>
      <c r="C22">
        <v>0.1017</v>
      </c>
      <c r="D22">
        <v>0.1865</v>
      </c>
      <c r="E22">
        <v>0.78720000000000001</v>
      </c>
    </row>
    <row r="23" spans="1:5">
      <c r="A23">
        <v>0.10489999999999999</v>
      </c>
      <c r="B23">
        <v>3.7400000000000003E-2</v>
      </c>
      <c r="C23">
        <v>5.5199999999999999E-2</v>
      </c>
      <c r="D23">
        <v>0.12429999999999999</v>
      </c>
      <c r="E23">
        <v>1.8041</v>
      </c>
    </row>
    <row r="24" spans="1:5">
      <c r="A24">
        <v>8.3500000000000005E-2</v>
      </c>
      <c r="B24">
        <v>4.9399999999999999E-2</v>
      </c>
      <c r="C24">
        <v>4.1300000000000003E-2</v>
      </c>
      <c r="D24">
        <v>0.1055</v>
      </c>
      <c r="E24">
        <v>1.3793</v>
      </c>
    </row>
    <row r="25" spans="1:5">
      <c r="A25">
        <v>0.1019</v>
      </c>
      <c r="B25">
        <v>3.0499999999999999E-2</v>
      </c>
      <c r="C25">
        <v>6.13E-2</v>
      </c>
      <c r="D25">
        <v>0.12280000000000001</v>
      </c>
      <c r="E25">
        <v>0.58550000000000002</v>
      </c>
    </row>
    <row r="26" spans="1:5">
      <c r="A26">
        <v>0.1106</v>
      </c>
      <c r="B26">
        <v>3.1800000000000002E-2</v>
      </c>
      <c r="C26">
        <v>5.8999999999999997E-2</v>
      </c>
      <c r="D26">
        <v>0.1293</v>
      </c>
      <c r="E26">
        <v>0.22969999999999999</v>
      </c>
    </row>
    <row r="27" spans="1:5">
      <c r="A27">
        <v>9.1700000000000004E-2</v>
      </c>
      <c r="B27">
        <v>3.8399999999999997E-2</v>
      </c>
      <c r="C27">
        <v>1.67E-2</v>
      </c>
      <c r="D27">
        <v>0.1008</v>
      </c>
      <c r="E27">
        <v>1.6348</v>
      </c>
    </row>
    <row r="28" spans="1:5">
      <c r="A28">
        <v>0.1057</v>
      </c>
      <c r="B28">
        <v>2.6100000000000002E-2</v>
      </c>
      <c r="C28">
        <v>4.6600000000000003E-2</v>
      </c>
      <c r="D28">
        <v>0.11849999999999999</v>
      </c>
      <c r="E28">
        <v>2.4716999999999998</v>
      </c>
    </row>
    <row r="29" spans="1:5">
      <c r="A29">
        <v>9.7000000000000003E-2</v>
      </c>
      <c r="B29">
        <v>4.3499999999999997E-2</v>
      </c>
      <c r="C29">
        <v>5.4399999999999997E-2</v>
      </c>
      <c r="D29">
        <v>0.11940000000000001</v>
      </c>
      <c r="E29">
        <v>1.5159</v>
      </c>
    </row>
    <row r="30" spans="1:5">
      <c r="A30">
        <v>8.7300000000000003E-2</v>
      </c>
      <c r="B30">
        <v>3.9699999999999999E-2</v>
      </c>
      <c r="C30">
        <v>1.84E-2</v>
      </c>
      <c r="D30">
        <v>9.7699999999999995E-2</v>
      </c>
      <c r="E30">
        <v>1.587</v>
      </c>
    </row>
    <row r="31" spans="1:5">
      <c r="A31">
        <v>7.6600000000000001E-2</v>
      </c>
      <c r="B31">
        <v>4.1500000000000002E-2</v>
      </c>
      <c r="C31">
        <v>3.44E-2</v>
      </c>
      <c r="D31">
        <v>9.3600000000000003E-2</v>
      </c>
      <c r="E31">
        <v>2.2389999999999999</v>
      </c>
    </row>
    <row r="32" spans="1:5">
      <c r="A32">
        <v>6.8000000000000005E-2</v>
      </c>
      <c r="B32">
        <v>4.7E-2</v>
      </c>
      <c r="C32">
        <v>2.18E-2</v>
      </c>
      <c r="D32">
        <v>8.5500000000000007E-2</v>
      </c>
      <c r="E32">
        <v>1.7802</v>
      </c>
    </row>
    <row r="33" spans="1:5">
      <c r="A33">
        <v>7.9299999999999995E-2</v>
      </c>
      <c r="B33">
        <v>5.6399999999999999E-2</v>
      </c>
      <c r="C33">
        <v>5.3499999999999999E-2</v>
      </c>
      <c r="D33">
        <v>0.111</v>
      </c>
      <c r="E33">
        <v>0.55889999999999995</v>
      </c>
    </row>
    <row r="34" spans="1:5">
      <c r="A34">
        <v>7.3599999999999999E-2</v>
      </c>
      <c r="B34">
        <v>6.3100000000000003E-2</v>
      </c>
      <c r="C34">
        <v>6.5699999999999995E-2</v>
      </c>
      <c r="D34">
        <v>0.1171</v>
      </c>
      <c r="E34">
        <v>0.02</v>
      </c>
    </row>
    <row r="35" spans="1:5">
      <c r="A35">
        <v>6.3200000000000006E-2</v>
      </c>
      <c r="B35">
        <v>5.9400000000000001E-2</v>
      </c>
      <c r="C35">
        <v>2.2000000000000001E-3</v>
      </c>
      <c r="D35">
        <v>8.6800000000000002E-2</v>
      </c>
      <c r="E35">
        <v>0.55789999999999995</v>
      </c>
    </row>
    <row r="36" spans="1:5">
      <c r="A36">
        <v>5.3699999999999998E-2</v>
      </c>
      <c r="B36">
        <v>5.7299999999999997E-2</v>
      </c>
      <c r="C36">
        <v>2.2499999999999999E-2</v>
      </c>
      <c r="D36">
        <v>8.1600000000000006E-2</v>
      </c>
      <c r="E36">
        <v>0.63629999999999998</v>
      </c>
    </row>
    <row r="37" spans="1:5">
      <c r="A37">
        <v>0.1221</v>
      </c>
      <c r="B37">
        <v>8.6099999999999996E-2</v>
      </c>
      <c r="C37">
        <v>6.2300000000000001E-2</v>
      </c>
      <c r="D37">
        <v>0.16189999999999999</v>
      </c>
      <c r="E37">
        <v>0.81850000000000001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24110-913A-4ABC-9CD7-EE9C5DDAF8CF}">
  <dimension ref="A1:L11"/>
  <sheetViews>
    <sheetView tabSelected="1" topLeftCell="D14" workbookViewId="0">
      <selection activeCell="L3" sqref="L3:L47"/>
    </sheetView>
  </sheetViews>
  <sheetFormatPr defaultRowHeight="15"/>
  <cols>
    <col min="1" max="3" width="21.7109375" bestFit="1" customWidth="1"/>
    <col min="4" max="4" width="28.42578125" bestFit="1" customWidth="1"/>
    <col min="5" max="5" width="19.5703125" bestFit="1" customWidth="1"/>
    <col min="6" max="8" width="23.7109375" bestFit="1" customWidth="1"/>
    <col min="9" max="9" width="33.85546875" bestFit="1" customWidth="1"/>
    <col min="10" max="10" width="30.28515625" bestFit="1" customWidth="1"/>
    <col min="11" max="11" width="35.42578125" bestFit="1" customWidth="1"/>
    <col min="12" max="12" width="31.8554687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2.76E-2</v>
      </c>
      <c r="B2">
        <v>6.2600000000000003E-2</v>
      </c>
      <c r="C2">
        <v>8.6400000000000005E-2</v>
      </c>
      <c r="D2">
        <v>0.11020000000000001</v>
      </c>
      <c r="E2">
        <v>8.8400000000000006E-2</v>
      </c>
      <c r="F2" cm="1">
        <f t="array" ref="F2">SQRT(AVERAGE(A2:A36*A2:A36))</f>
        <v>4.5543853278225931E-2</v>
      </c>
      <c r="G2" cm="1">
        <f t="array" ref="G2">SQRT(AVERAGE(B2:B36*B2:B36))</f>
        <v>3.3968308759783732E-2</v>
      </c>
      <c r="H2" cm="1">
        <f t="array" ref="H2">SQRT(AVERAGE(C2:C36*C2:C36))</f>
        <v>4.8498438855581437E-2</v>
      </c>
      <c r="I2" cm="1">
        <f t="array" ref="I2">SQRT(AVERAGE(D2:D11*D2:D11))</f>
        <v>0.13974202660617172</v>
      </c>
      <c r="J2" cm="1">
        <f t="array" ref="J2">SQRT(AVERAGE(E2:E36*E2:E36))</f>
        <v>0.7775567995789302</v>
      </c>
      <c r="K2">
        <f t="shared" ref="K2:K36" si="0">MEDIAN(D2:D11)</f>
        <v>0.1207</v>
      </c>
      <c r="L2">
        <f t="shared" ref="L2:L36" si="1">MEDIAN(E2:E11)</f>
        <v>0.80285000000000006</v>
      </c>
    </row>
    <row r="3" spans="1:12">
      <c r="A3">
        <v>5.3499999999999999E-2</v>
      </c>
      <c r="B3">
        <v>6.8500000000000005E-2</v>
      </c>
      <c r="C3">
        <v>0.13700000000000001</v>
      </c>
      <c r="D3">
        <v>0.16220000000000001</v>
      </c>
      <c r="E3">
        <v>2.6694</v>
      </c>
    </row>
    <row r="4" spans="1:12">
      <c r="A4">
        <v>8.3500000000000005E-2</v>
      </c>
      <c r="B4">
        <v>4.9399999999999999E-2</v>
      </c>
      <c r="C4">
        <v>4.1300000000000003E-2</v>
      </c>
      <c r="D4">
        <v>0.1055</v>
      </c>
      <c r="E4">
        <v>1.3793</v>
      </c>
    </row>
    <row r="5" spans="1:12">
      <c r="A5">
        <v>7.9299999999999995E-2</v>
      </c>
      <c r="B5">
        <v>5.6399999999999999E-2</v>
      </c>
      <c r="C5">
        <v>5.3499999999999999E-2</v>
      </c>
      <c r="D5">
        <v>0.111</v>
      </c>
      <c r="E5">
        <v>0.55889999999999995</v>
      </c>
    </row>
    <row r="6" spans="1:12">
      <c r="A6">
        <v>6.3200000000000006E-2</v>
      </c>
      <c r="B6">
        <v>5.9400000000000001E-2</v>
      </c>
      <c r="C6">
        <v>2.2000000000000001E-3</v>
      </c>
      <c r="D6">
        <v>8.6800000000000002E-2</v>
      </c>
      <c r="E6">
        <v>0.55789999999999995</v>
      </c>
    </row>
    <row r="7" spans="1:12">
      <c r="A7">
        <v>0.1424</v>
      </c>
      <c r="B7">
        <v>6.4500000000000002E-2</v>
      </c>
      <c r="C7">
        <v>0.1017</v>
      </c>
      <c r="D7">
        <v>0.1865</v>
      </c>
      <c r="E7">
        <v>0.78720000000000001</v>
      </c>
    </row>
    <row r="8" spans="1:12">
      <c r="A8">
        <v>0.10489999999999999</v>
      </c>
      <c r="B8">
        <v>3.7400000000000003E-2</v>
      </c>
      <c r="C8">
        <v>5.5199999999999999E-2</v>
      </c>
      <c r="D8">
        <v>0.12429999999999999</v>
      </c>
      <c r="E8">
        <v>1.8041</v>
      </c>
    </row>
    <row r="9" spans="1:12">
      <c r="A9">
        <v>7.3599999999999999E-2</v>
      </c>
      <c r="B9">
        <v>6.3100000000000003E-2</v>
      </c>
      <c r="C9">
        <v>6.5699999999999995E-2</v>
      </c>
      <c r="D9">
        <v>0.1171</v>
      </c>
      <c r="E9">
        <v>0.02</v>
      </c>
    </row>
    <row r="10" spans="1:12">
      <c r="A10">
        <v>1.06E-2</v>
      </c>
      <c r="B10">
        <v>7.5300000000000006E-2</v>
      </c>
      <c r="C10">
        <v>0.17299999999999999</v>
      </c>
      <c r="D10">
        <v>0.18890000000000001</v>
      </c>
      <c r="E10">
        <v>2.6375000000000002</v>
      </c>
    </row>
    <row r="11" spans="1:12">
      <c r="A11">
        <v>0.1221</v>
      </c>
      <c r="B11">
        <v>8.6099999999999996E-2</v>
      </c>
      <c r="C11">
        <v>6.2300000000000001E-2</v>
      </c>
      <c r="D11">
        <v>0.16189999999999999</v>
      </c>
      <c r="E11">
        <v>0.81850000000000001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2025-09-12T15:15:30Z</dcterms:created>
  <dcterms:modified xsi:type="dcterms:W3CDTF">2026-04-02T21:02:19Z</dcterms:modified>
  <cp:category/>
  <cp:contentStatus/>
</cp:coreProperties>
</file>