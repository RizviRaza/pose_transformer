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https://uofwaterloo-my.sharepoint.com/personal/smr4rizv_uwaterloo_ca/Documents/Projects/Holoinspector/Research Paper/"/>
    </mc:Choice>
  </mc:AlternateContent>
  <xr:revisionPtr revIDLastSave="0" documentId="8_{F4B27B50-30C0-4428-8489-8CA1636984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(2)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8" l="1" a="1"/>
  <c r="I2" i="8"/>
  <c r="F2" i="8" a="1"/>
  <c r="F2" i="8"/>
  <c r="G2" i="8" a="1"/>
  <c r="G2" i="8"/>
  <c r="H2" i="8" a="1"/>
  <c r="H2" i="8"/>
  <c r="J2" i="8" a="1"/>
  <c r="J2" i="8"/>
  <c r="K2" i="8"/>
  <c r="L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<sst xmlns="http://schemas.openxmlformats.org/spreadsheetml/2006/main" count="12" uniqueCount="12">
  <si>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Positional Error X (m)</t>
  </si>
  <si>
    <t>Positional Error Y (m)</t>
  </si>
  <si>
    <t>Positional Error Z (m)</t>
  </si>
  <si>
    <t>Euclidean Distance Error (m)</t>
  </si>
  <si>
    <t>Rotational Error (°)</t>
  </si>
  <si>
    <t>RMSE Positional Error X</t>
  </si>
  <si>
    <t>RMSE Positional Error Y</t>
  </si>
  <si>
    <t>RMSE Positional Error Z</t>
  </si>
  <si>
    <t>RMSE Euclidean Distance Error (m)</t>
  </si>
  <si>
    <t>RMSE Rotational Error (degree)</t>
  </si>
  <si>
    <t>Median Euclidean Distance Error (m)</t>
  </si>
  <si>
    <t>Median Rotational Error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</si>
</sst>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DE4504-FC81-41CC-9B10-CABB921ED85E}" name="Table143" displayName="Table143" ref="A1:L14" totalsRowShown="0" headerRowDxfId="7">
  <autoFilter ref="A1:L14" xr:uid="{0B717D81-A9AA-44F4-AE19-459236AE1AC9}"/>
  <tableColumns count="12">
    <tableColumn id="1" xr3:uid="{D6B3F0CF-8179-42BB-92D8-878391AE403D}" name="Positional Error X (m)"/>
    <tableColumn id="2" xr3:uid="{6306CFAC-78AC-41FB-AE37-7354C89E9CE2}" name="Positional Error Y (m)"/>
    <tableColumn id="3" xr3:uid="{81A168B2-E3B5-43BA-9C0F-A4694C542E3F}" name="Positional Error Z (m)"/>
    <tableColumn id="4" xr3:uid="{6F962099-224A-454D-8C4C-B61AD07772AF}" name="Euclidean Distance Error (m)"/>
    <tableColumn id="5" xr3:uid="{0C18143E-77D6-4AB3-A850-3B7817BBFC8B}" name="Rotational Error (°)"/>
    <tableColumn id="6" xr3:uid="{30EF01E1-CC63-4836-A102-FDDBB0AC0A9D}" name="RMSE Positional Error X" dataDxfId="6">
      <calculatedColumnFormula array="1">SQRT(AVERAGE(A2:A10*A2:A10))</calculatedColumnFormula>
    </tableColumn>
    <tableColumn id="7" xr3:uid="{F231F45D-F76B-4DDA-9BA0-4D1917FF7514}" name="RMSE Positional Error Y" dataDxfId="5">
      <calculatedColumnFormula array="1">SQRT(AVERAGE(B2:B34*B2:B34))</calculatedColumnFormula>
    </tableColumn>
    <tableColumn id="8" xr3:uid="{739CF8A7-FD63-4BD4-947E-2870999C59F8}" name="RMSE Positional Error Z" dataDxfId="4">
      <calculatedColumnFormula array="1">SQRT(AVERAGE(C2:C34*C2:C34))</calculatedColumnFormula>
    </tableColumn>
    <tableColumn id="9" xr3:uid="{A122E385-FD31-48C7-A2D7-9BD086039107}" name="RMSE Euclidean Distance Error (m)" dataDxfId="3">
      <calculatedColumnFormula array="1">SQRT(AVERAGE(D2:D10*D2:D10))</calculatedColumnFormula>
    </tableColumn>
    <tableColumn id="10" xr3:uid="{AA079CD4-868A-4917-8AA7-ED9C3A939AE6}" name="RMSE Rotational Error (degree)" dataDxfId="2">
      <calculatedColumnFormula array="1">SQRT(AVERAGE(E2:E34*E2:E34))</calculatedColumnFormula>
    </tableColumn>
    <tableColumn id="11" xr3:uid="{3C5E01D7-CB6E-48D5-AF18-F377B574DB65}" name="Median Euclidean Distance Error (m)" dataDxfId="1">
      <calculatedColumnFormula>MEDIAN(D2:D10)</calculatedColumnFormula>
    </tableColumn>
    <tableColumn id="12" xr3:uid="{2615D311-06BB-40EB-9A0E-B894481E64E8}" name="Median Rotational Error (degree)" dataDxfId="0">
      <calculatedColumnFormula>MEDIAN(E2:E10)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E50E-012F-40C1-8DD9-C39242569773}">
  <dimension ref="A1:L11"/>
  <sheetViews>
    <sheetView tabSelected="1" workbookViewId="0">
      <selection activeCell="F19" sqref="F19"/>
    </sheetView>
  </sheetViews>
  <sheetFormatPr defaultRowHeight="15"/>
  <cols>
    <col min="1" max="3" width="22.28515625" bestFit="1" customWidth="1"/>
    <col min="4" max="4" width="29.28515625" bestFit="1" customWidth="1"/>
    <col min="5" max="5" width="20.140625" bestFit="1" customWidth="1"/>
    <col min="6" max="8" width="24.42578125" bestFit="1" customWidth="1"/>
    <col min="9" max="9" width="34.85546875" bestFit="1" customWidth="1"/>
    <col min="10" max="10" width="31.140625" bestFit="1" customWidth="1"/>
    <col min="11" max="11" width="36.5703125" bestFit="1" customWidth="1"/>
    <col min="12" max="12" width="32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7.2746805552611926E-2</v>
      </c>
      <c r="B2">
        <v>5.5671785978371024E-2</v>
      </c>
      <c r="C2">
        <v>7.083691475376197E-2</v>
      </c>
      <c r="D2">
        <v>0.11579859223653291</v>
      </c>
      <c r="E2">
        <v>3.1520583855200228</v>
      </c>
      <c r="F2" cm="1">
        <f t="array" ref="F2">SQRT(AVERAGE(A2:A10*A2:A10))</f>
        <v>7.1543563078107941E-2</v>
      </c>
      <c r="G2" cm="1">
        <f t="array" ref="G2">SQRT(AVERAGE(B2:B34*B2:B34))</f>
        <v>2.4480219972462247E-2</v>
      </c>
      <c r="H2" cm="1">
        <f t="array" ref="H2">SQRT(AVERAGE(C2:C34*C2:C34))</f>
        <v>3.5782224921492016E-2</v>
      </c>
      <c r="I2" cm="1">
        <f t="array" ref="I2">SQRT(AVERAGE(D2:D10*D2:D10))</f>
        <v>0.10590297144944955</v>
      </c>
      <c r="J2" cm="1">
        <f t="array" ref="J2">SQRT(AVERAGE(E2:E34*E2:E34))</f>
        <v>1.5741033111139699</v>
      </c>
      <c r="K2" s="2">
        <f>MEDIAN(D2:D10)</f>
        <v>0.10845616622944011</v>
      </c>
      <c r="L2" s="3">
        <f>MEDIAN(E2:E10)</f>
        <v>2.8902197568025518</v>
      </c>
    </row>
    <row r="3" spans="1:12">
      <c r="A3">
        <v>7.8690619741601964E-2</v>
      </c>
      <c r="B3">
        <v>2.7266431807079994E-2</v>
      </c>
      <c r="C3">
        <v>6.9477104533654854E-2</v>
      </c>
      <c r="D3">
        <v>0.10845616622944011</v>
      </c>
      <c r="E3">
        <v>2.6919636094965291</v>
      </c>
    </row>
    <row r="4" spans="1:12">
      <c r="A4">
        <v>7.5549919844562996E-2</v>
      </c>
      <c r="B4">
        <v>3.0672173759429988E-2</v>
      </c>
      <c r="C4">
        <v>6.1264148801180029E-2</v>
      </c>
      <c r="D4">
        <v>0.10198955122943569</v>
      </c>
      <c r="E4">
        <v>2.8768329567249866</v>
      </c>
    </row>
    <row r="5" spans="1:12">
      <c r="A5">
        <v>9.4783188912516095E-2</v>
      </c>
      <c r="B5">
        <v>-1.4978928572432992E-2</v>
      </c>
      <c r="C5">
        <v>5.3207418112970029E-2</v>
      </c>
      <c r="D5">
        <v>0.10972351864505701</v>
      </c>
      <c r="E5">
        <v>3.8381946271941358</v>
      </c>
    </row>
    <row r="6" spans="1:12">
      <c r="A6">
        <v>7.3846795086730976E-2</v>
      </c>
      <c r="B6">
        <v>6.6714723742469006E-2</v>
      </c>
      <c r="C6">
        <v>4.0426222409239987E-2</v>
      </c>
      <c r="D6">
        <v>0.10741733084980715</v>
      </c>
      <c r="E6">
        <v>2.9641807585777702</v>
      </c>
    </row>
    <row r="7" spans="1:12">
      <c r="A7">
        <v>8.1831319638641042E-2</v>
      </c>
      <c r="B7">
        <v>2.3860689854729999E-2</v>
      </c>
      <c r="C7">
        <v>7.7690060266129901E-2</v>
      </c>
      <c r="D7">
        <v>0.11533188136113948</v>
      </c>
      <c r="E7">
        <v>2.614595178347229</v>
      </c>
    </row>
    <row r="8" spans="1:12">
      <c r="A8">
        <v>3.5637713512457599E-2</v>
      </c>
      <c r="B8">
        <v>6.6193636838775494E-2</v>
      </c>
      <c r="C8">
        <v>3.264485016023011E-2</v>
      </c>
      <c r="D8">
        <v>8.1959321765883192E-2</v>
      </c>
      <c r="E8">
        <v>3.0527163572121339</v>
      </c>
    </row>
    <row r="9" spans="1:12">
      <c r="A9">
        <v>7.3296800319671451E-2</v>
      </c>
      <c r="B9">
        <v>6.1193254860420043E-2</v>
      </c>
      <c r="C9">
        <v>5.5631568581500979E-2</v>
      </c>
      <c r="D9">
        <v>0.11050749657988075</v>
      </c>
      <c r="E9">
        <v>2.8902197568025518</v>
      </c>
    </row>
    <row r="10" spans="1:12">
      <c r="A10">
        <v>3.3139048552236483E-2</v>
      </c>
      <c r="B10">
        <v>3.62527378427785E-2</v>
      </c>
      <c r="C10">
        <v>8.4523136510095132E-2</v>
      </c>
      <c r="D10">
        <v>9.7757956942383414E-2</v>
      </c>
      <c r="E10">
        <v>0.16715503406720211</v>
      </c>
    </row>
    <row r="11" spans="1:12">
      <c r="A11">
        <v>6.6361740871566044E-2</v>
      </c>
      <c r="B11">
        <v>1.7540299913495781E-2</v>
      </c>
      <c r="C11">
        <v>8.2753407551640068E-2</v>
      </c>
      <c r="D11">
        <v>0.10751590223761368</v>
      </c>
      <c r="E11">
        <v>2.8730699616440893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2025-01-14T22:33:51Z</dcterms:created>
  <dcterms:modified xsi:type="dcterms:W3CDTF">2026-04-02T20:50:05Z</dcterms:modified>
  <cp:category/>
  <cp:contentStatus/>
</cp:coreProperties>
</file>